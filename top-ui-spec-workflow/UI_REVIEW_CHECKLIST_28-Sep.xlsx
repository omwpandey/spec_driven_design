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58D1A80C-0532-46D7-9726-ED00CF3473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I Review Checklist" sheetId="1" r:id="rId1"/>
    <sheet name="Review Summary" sheetId="2" r:id="rId2"/>
    <sheet name="Lists" sheetId="3" state="hidden" r:id="rId3"/>
  </sheets>
  <definedNames>
    <definedName name="_xlnm._FilterDatabase" localSheetId="0" hidden="1">'UI Review Checklist'!$A$4:$I$14</definedName>
    <definedName name="_xlnm._FilterDatabase" localSheetId="1" hidden="1">'Review Summary'!$A$10:$B$17</definedName>
    <definedName name="_xlnm.Print_Titles" localSheetId="0">'UI Review Checklist'!$1:$4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17" i="2" s="1"/>
</calcChain>
</file>

<file path=xl/sharedStrings.xml><?xml version="1.0" encoding="utf-8"?>
<sst xmlns="http://schemas.openxmlformats.org/spreadsheetml/2006/main" count="101" uniqueCount="64">
  <si>
    <t>Top UI - Manual UI Code Review Checklist</t>
  </si>
  <si>
    <t>Review each category once. Verify every bullet under the checklist item before selecting the category status. For failures, record file, symbol, and supporting evidence.</t>
  </si>
  <si>
    <t>ID</t>
  </si>
  <si>
    <t>Category</t>
  </si>
  <si>
    <t>Checklist Items</t>
  </si>
  <si>
    <t>Status</t>
  </si>
  <si>
    <t>Severity</t>
  </si>
  <si>
    <t>Evidence / Comments</t>
  </si>
  <si>
    <t>Reviewer</t>
  </si>
  <si>
    <t>Review Date</t>
  </si>
  <si>
    <t>Follow-up JiraTicket</t>
  </si>
  <si>
    <t>File naming and placement</t>
  </si>
  <si>
    <t>• Files follow S&amp;G naming conventions: generated pages use PascalCasePage.tsx, shared components use PascalCase.tsx, hooks use use{Name}.ts, services use {name}Service.ts, types use {name}.types.ts, constants use camelCase.ts, and tests use {Component}.test.tsx.
• Files are placed in the correct layer: feature code under src/modules/&lt;FUNCTION_KEY&gt;/, shared UI under src/components/, hooks under src/hooks/, services under src/services/, and shared types/utilities in their approved folders.
• No parallel component library, src/comp, duplicate infrastructure, or incorrectly placed page has been introduced.</t>
  </si>
  <si>
    <t>Not Reviewed</t>
  </si>
  <si>
    <t>None</t>
  </si>
  <si>
    <t>Identifier naming</t>
  </si>
  <si>
    <t>• Components and types use PascalCase; functions and variables use camelCase; constants use UPPER_SNAKE_CASE.
• Event handlers use handle{Event} names, such as handleSave and handleDelete.
• Boolean variables use is, has, or should prefixes, such as isLoading, hasError, and shouldConfirm.
• Names describe business intent clearly; there are no unexplained one-letter variables, vague names, or misleading abbreviations.</t>
  </si>
  <si>
    <t>Component reuse and catalog compliance</t>
  </si>
  <si>
    <t>• All UI controls use approved components from src/components and the component catalog.
• No raw HTML button, input, select, or textarea is used in governed UI code.
• No direct MUI Button, TextField, Select, Table, IconButton, or Dialog is used where a project wrapper exists.
• New shared components are genuinely reusable, documented in the component map when required, and added to the catalog.</t>
  </si>
  <si>
    <t>Page structure and styling</t>
  </si>
  <si>
    <t>• *Page.tsx files compose layout and feature sections; significant business logic is delegated to hooks, services, validators, or local components.
• No style objects, sx blocks, CSS rules, or visual constants are defined inside *Page.tsx; page styling is in the approved .styles.ts file, shared components, or theme tokens.
• Existing layout, spacing, typography, color, and responsive tokens are reused instead of introducing one-off visual values.
• Screen-local components remain local; components shared across features are moved to the shared component layer rather than copied.</t>
  </si>
  <si>
    <t>React API and component design</t>
  </si>
  <si>
    <t>• Components use idiomatic React: props are explicit and typed, hooks are called only at the top level, effects synchronize external systems, and side effects do not run during render.
• Components have one clear responsibility and avoid deeply coupled prop chains, oversized JSX, or hidden mutation.
• Lists use stable domain keys rather than array indexes as identity.
• Async behavior handles loading, success, failure, retry, cancellation, and duplicate submission appropriately.
• Existing project abstractions (apiService, useApi, translation hooks, permission hooks, error handling, and shared form components) are used instead of new equivalents.</t>
  </si>
  <si>
    <t>useState best practice</t>
  </si>
  <si>
    <t>• State is kept close to the component that owns and consumes it; state is not lifted without a real sharing need.
• State contains the minimum source-of-truth data; derived values are calculated rather than duplicated in state.
• Related state is grouped appropriately, while independent state is not unnecessarily combined into one object.
• Functional state updates are used when the next value depends on the previous value.
• State updates are immutable, preserve unrelated fields, and cannot lose data during rapid user interaction.
• Effects are not used to mirror props into state or calculate values that can be derived during render.</t>
  </si>
  <si>
    <t>Reducer and shared state management</t>
  </si>
  <si>
    <t>• useReducer or Redux is used when state has multiple related transitions, complex workflows, or cross-component ownership; simple local state is not over-engineered.
• Reducers are pure, deterministic, immutable, and free of API calls, navigation, logging, or other side effects.
• Actions express business events rather than arbitrary field mutations and use discriminated, typed payloads.
• Reducer state has explicit initial, loading, success, empty, and error states where applicable.
• Redux state is used for genuinely shared or application-level state; transient field and dialog state stays local.
• Selectors and dispatch usage are typed, narrow, and do not cause avoidable whole-page rerenders.</t>
  </si>
  <si>
    <t>Field validation and form behavior</t>
  </si>
  <si>
    <t>• Every required field has both a clear required indicator and executable validation.
• Validation rules match the approved contract: type, format, range, length, conditional requirements, uniqueness, and cross-field rules are checked.
• Validation occurs at the correct interaction point, such as blur/change for immediate feedback and submit for complete validation.
• Errors identify the affected field, explain how to correct it, and clear when the value becomes valid.
• Server validation errors map to the correct fields and are not replaced by a generic success state.
• Invalid forms cannot submit; valid forms cannot be blocked by stale errors or hidden fields.</t>
  </si>
  <si>
    <t>API and data integrity</t>
  </si>
  <si>
    <t>• API calls use the approved service abstraction and exact contract endpoint/method; no second HTTP client is introduced.
• Request and response data are explicitly typed and mapped at the service boundary.
• The UI shows success only after the server confirms success and preserves recoverable input after failure.
• Permissions are enforced for protected actions, and immutable or read-only fields cannot be changed through the UI.</t>
  </si>
  <si>
    <t>Testing readiness</t>
  </si>
  <si>
    <t>• Tests cover the user-visible behavior: render, main interactions, validation boundaries, loading, API success/failure, permissions, and important state transitions.
• Tests use accessible queries and realistic user interactions, and shared component changes include regression coverage.
• The implementation has no debug logging, fake success path, untracked TODO behavior, or untested critical branch that would prevent a production review.</t>
  </si>
  <si>
    <t>Build Verification &amp; Deployment Readiness</t>
  </si>
  <si>
    <t>• Execute npm run build and ensure build completes without errors.
• Verify application in Thai language and confirm translations/UI render correctly.
• Remove console.log/debug text before deployment.
• Validate full-screen functionality across navigation, buttons and modals.
• Ensure error codes/messages use a consistent format across screens.</t>
  </si>
  <si>
    <t>Figma Compliance &amp; Evidence</t>
  </si>
  <si>
    <t>• Compare implemented screens against Figma designs and document gaps.
• Capture screenshots of running screens in English and Thai.
• Organize evidence by screen name and maintain screenshot repository.</t>
  </si>
  <si>
    <t>PR &amp; Development Standards</t>
  </si>
  <si>
    <t>• Follow feature branch naming convention feature/&lt;ticketNo&gt;.
• Use standard PR title format.
• Attach screenshots and code coverage report in PR.
• Code must compile without TypeScript errors.
• Implement appropriate TypeScript interfaces and use approved hooks (UseApi.ts, useFormValidation.ts).</t>
  </si>
  <si>
    <t>Localization, Accessibility &amp; Quality</t>
  </si>
  <si>
    <t>• Add English and Thai translations for labels, validations, success and error messages.
• API failures must return error codes and be translated in UI.
• Ensure UI matches UX/UI guidelines and use em sizing instead of px.
• Verify browser compatibility, accessibility, performance and security checks.</t>
  </si>
  <si>
    <t>Manual Review Result</t>
  </si>
  <si>
    <t>Feature / Screen</t>
  </si>
  <si>
    <t>Function Key</t>
  </si>
  <si>
    <t>Verdict</t>
  </si>
  <si>
    <t>Source</t>
  </si>
  <si>
    <t>UI_REVIEW_CHECKLIST.md</t>
  </si>
  <si>
    <t>Category Review Metrics</t>
  </si>
  <si>
    <t>Key Findings</t>
  </si>
  <si>
    <t>Total Items</t>
  </si>
  <si>
    <t>Blocking findings</t>
  </si>
  <si>
    <t>PASS</t>
  </si>
  <si>
    <t>FAIL</t>
  </si>
  <si>
    <t>Follow-up</t>
  </si>
  <si>
    <t>Failed checklist items</t>
  </si>
  <si>
    <t>N/A</t>
  </si>
  <si>
    <t>Completion %</t>
  </si>
  <si>
    <t>Follow-up ticket or decision</t>
  </si>
  <si>
    <t>Low</t>
  </si>
  <si>
    <t>PASS WITH FOLLOW-UP</t>
  </si>
  <si>
    <t>Medium</t>
  </si>
  <si>
    <t>WARNING</t>
  </si>
  <si>
    <t>High</t>
  </si>
  <si>
    <t>Blocking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</si>
</sst>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rgb="FF666666"/>
      <name val="Calibri"/>
    </font>
    <font>
      <b/>
      <sz val="11"/>
      <color rgb="FF008000"/>
      <name val="Calibri"/>
    </font>
    <font>
      <sz val="11"/>
      <color rgb="FF008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0" xfId="0" applyFont="1" applyFill="1"/>
    <xf numFmtId="0" fontId="7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vertical="top" wrapText="1"/>
    </xf>
    <xf numFmtId="0" fontId="0" fillId="0" borderId="0" xfId="0" applyAlignment="1"/>
    <xf numFmtId="0" fontId="0" fillId="4" borderId="0" xfId="0" applyFill="1" applyAlignment="1"/>
    <xf numFmtId="0" fontId="0" fillId="5" borderId="0" xfId="0" applyFill="1" applyAlignment="1"/>
  </cellXfs>
  <cellStyles count="1">
    <cellStyle name="Normal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showGridLines="0" tabSelected="1" workbookViewId="0">
      <pane ySplit="4" topLeftCell="A5" activePane="bottomLeft" state="frozen"/>
      <selection pane="bottomLeft" activeCell="C14" sqref="C14"/>
    </sheetView>
  </sheetViews>
  <sheetFormatPr defaultRowHeight="14.45"/>
  <cols>
    <col min="1" max="1" width="7" customWidth="1"/>
    <col min="2" max="2" width="34" customWidth="1"/>
    <col min="3" max="3" width="54.28515625" customWidth="1"/>
    <col min="4" max="4" width="18" customWidth="1"/>
    <col min="5" max="5" width="14" customWidth="1"/>
    <col min="6" max="6" width="55" customWidth="1"/>
    <col min="7" max="7" width="20" customWidth="1"/>
    <col min="8" max="8" width="14" customWidth="1"/>
    <col min="9" max="9" width="22" customWidth="1"/>
  </cols>
  <sheetData>
    <row r="1" spans="1:9" ht="30" customHeight="1">
      <c r="A1" s="9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2.1" customHeight="1">
      <c r="A2" s="10" t="s">
        <v>1</v>
      </c>
      <c r="B2" s="13"/>
      <c r="C2" s="13"/>
      <c r="D2" s="13"/>
      <c r="E2" s="13"/>
      <c r="F2" s="13"/>
      <c r="G2" s="13"/>
      <c r="H2" s="13"/>
      <c r="I2" s="1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35" customHeight="1">
      <c r="A5" s="2">
        <v>1</v>
      </c>
      <c r="B5" s="3" t="s">
        <v>11</v>
      </c>
      <c r="C5" s="4" t="s">
        <v>12</v>
      </c>
      <c r="D5" s="5" t="s">
        <v>13</v>
      </c>
      <c r="E5" s="5" t="s">
        <v>14</v>
      </c>
      <c r="F5" s="5"/>
      <c r="G5" s="5"/>
      <c r="H5" s="5"/>
      <c r="I5" s="5"/>
    </row>
    <row r="6" spans="1:9" ht="180" customHeight="1">
      <c r="A6" s="2">
        <v>2</v>
      </c>
      <c r="B6" s="3" t="s">
        <v>15</v>
      </c>
      <c r="C6" s="4" t="s">
        <v>16</v>
      </c>
      <c r="D6" s="5" t="s">
        <v>13</v>
      </c>
      <c r="E6" s="5" t="s">
        <v>14</v>
      </c>
      <c r="F6" s="5"/>
      <c r="G6" s="5"/>
      <c r="H6" s="5"/>
      <c r="I6" s="5"/>
    </row>
    <row r="7" spans="1:9" ht="180" customHeight="1">
      <c r="A7" s="2">
        <v>3</v>
      </c>
      <c r="B7" s="3" t="s">
        <v>17</v>
      </c>
      <c r="C7" s="4" t="s">
        <v>18</v>
      </c>
      <c r="D7" s="5" t="s">
        <v>13</v>
      </c>
      <c r="E7" s="5" t="s">
        <v>14</v>
      </c>
      <c r="F7" s="5"/>
      <c r="G7" s="5"/>
      <c r="H7" s="5"/>
      <c r="I7" s="5"/>
    </row>
    <row r="8" spans="1:9" ht="180" customHeight="1">
      <c r="A8" s="2">
        <v>4</v>
      </c>
      <c r="B8" s="3" t="s">
        <v>19</v>
      </c>
      <c r="C8" s="4" t="s">
        <v>20</v>
      </c>
      <c r="D8" s="5" t="s">
        <v>13</v>
      </c>
      <c r="E8" s="5" t="s">
        <v>14</v>
      </c>
      <c r="F8" s="5"/>
      <c r="G8" s="5"/>
      <c r="H8" s="5"/>
      <c r="I8" s="5"/>
    </row>
    <row r="9" spans="1:9" ht="225" customHeight="1">
      <c r="A9" s="2">
        <v>5</v>
      </c>
      <c r="B9" s="3" t="s">
        <v>21</v>
      </c>
      <c r="C9" s="4" t="s">
        <v>22</v>
      </c>
      <c r="D9" s="5" t="s">
        <v>13</v>
      </c>
      <c r="E9" s="5" t="s">
        <v>14</v>
      </c>
      <c r="F9" s="5"/>
      <c r="G9" s="5"/>
      <c r="H9" s="5"/>
      <c r="I9" s="5"/>
    </row>
    <row r="10" spans="1:9" ht="270" customHeight="1">
      <c r="A10" s="2">
        <v>6</v>
      </c>
      <c r="B10" s="3" t="s">
        <v>23</v>
      </c>
      <c r="C10" s="4" t="s">
        <v>24</v>
      </c>
      <c r="D10" s="5" t="s">
        <v>13</v>
      </c>
      <c r="E10" s="5" t="s">
        <v>14</v>
      </c>
      <c r="F10" s="5"/>
      <c r="G10" s="5"/>
      <c r="H10" s="5"/>
      <c r="I10" s="5"/>
    </row>
    <row r="11" spans="1:9" ht="270" customHeight="1">
      <c r="A11" s="2">
        <v>7</v>
      </c>
      <c r="B11" s="3" t="s">
        <v>25</v>
      </c>
      <c r="C11" s="4" t="s">
        <v>26</v>
      </c>
      <c r="D11" s="5" t="s">
        <v>13</v>
      </c>
      <c r="E11" s="5" t="s">
        <v>14</v>
      </c>
      <c r="F11" s="5"/>
      <c r="G11" s="5"/>
      <c r="H11" s="5"/>
      <c r="I11" s="5"/>
    </row>
    <row r="12" spans="1:9" ht="270" customHeight="1">
      <c r="A12" s="2">
        <v>8</v>
      </c>
      <c r="B12" s="3" t="s">
        <v>27</v>
      </c>
      <c r="C12" s="4" t="s">
        <v>28</v>
      </c>
      <c r="D12" s="5" t="s">
        <v>13</v>
      </c>
      <c r="E12" s="5" t="s">
        <v>14</v>
      </c>
      <c r="F12" s="5"/>
      <c r="G12" s="5"/>
      <c r="H12" s="5"/>
      <c r="I12" s="5"/>
    </row>
    <row r="13" spans="1:9" ht="180" customHeight="1">
      <c r="A13" s="2">
        <v>9</v>
      </c>
      <c r="B13" s="3" t="s">
        <v>29</v>
      </c>
      <c r="C13" s="4" t="s">
        <v>30</v>
      </c>
      <c r="D13" s="5" t="s">
        <v>13</v>
      </c>
      <c r="E13" s="5" t="s">
        <v>14</v>
      </c>
      <c r="F13" s="5"/>
      <c r="G13" s="5"/>
      <c r="H13" s="5"/>
      <c r="I13" s="5"/>
    </row>
    <row r="14" spans="1:9" ht="135" customHeight="1">
      <c r="A14" s="4">
        <v>10</v>
      </c>
      <c r="B14" s="3" t="s">
        <v>31</v>
      </c>
      <c r="C14" s="4" t="s">
        <v>32</v>
      </c>
      <c r="D14" s="4" t="s">
        <v>13</v>
      </c>
      <c r="E14" s="4" t="s">
        <v>14</v>
      </c>
      <c r="F14" s="5"/>
      <c r="G14" s="5"/>
      <c r="H14" s="5"/>
      <c r="I14" s="5"/>
    </row>
    <row r="15" spans="1:9" ht="15" customHeight="1">
      <c r="A15" s="4">
        <v>11</v>
      </c>
      <c r="B15" s="3" t="s">
        <v>33</v>
      </c>
      <c r="C15" s="4" t="s">
        <v>34</v>
      </c>
      <c r="D15" s="4" t="s">
        <v>13</v>
      </c>
      <c r="E15" s="4" t="s">
        <v>14</v>
      </c>
      <c r="F15" s="5"/>
      <c r="G15" s="5"/>
      <c r="H15" s="5"/>
    </row>
    <row r="16" spans="1:9">
      <c r="A16" s="4">
        <v>12</v>
      </c>
      <c r="B16" s="3" t="s">
        <v>35</v>
      </c>
      <c r="C16" s="4" t="s">
        <v>36</v>
      </c>
      <c r="D16" s="4" t="s">
        <v>13</v>
      </c>
      <c r="E16" s="4" t="s">
        <v>14</v>
      </c>
      <c r="F16" s="5"/>
      <c r="G16" s="5"/>
      <c r="H16" s="5"/>
    </row>
    <row r="17" spans="1:8">
      <c r="A17" s="4">
        <v>13</v>
      </c>
      <c r="B17" s="3" t="s">
        <v>37</v>
      </c>
      <c r="C17" s="4" t="s">
        <v>38</v>
      </c>
      <c r="D17" s="4" t="s">
        <v>13</v>
      </c>
      <c r="E17" s="4" t="s">
        <v>14</v>
      </c>
      <c r="F17" s="5"/>
      <c r="G17" s="5"/>
      <c r="H17" s="5"/>
    </row>
    <row r="18" spans="1:8">
      <c r="A18" s="4">
        <v>14</v>
      </c>
      <c r="B18" s="3" t="s">
        <v>39</v>
      </c>
      <c r="C18" s="4" t="s">
        <v>40</v>
      </c>
      <c r="D18" s="4" t="s">
        <v>13</v>
      </c>
      <c r="E18" s="4" t="s">
        <v>14</v>
      </c>
      <c r="F18" s="5"/>
      <c r="G18" s="5"/>
      <c r="H18" s="5"/>
    </row>
  </sheetData>
  <autoFilter ref="A4:I14" xr:uid="{00000000-0009-0000-0000-000000000000}"/>
  <mergeCells count="2">
    <mergeCell ref="A1:I1"/>
    <mergeCell ref="A2:I2"/>
  </mergeCells>
  <conditionalFormatting sqref="D5:D14">
    <cfRule type="expression" dxfId="3" priority="1">
      <formula>D5="PASS"</formula>
    </cfRule>
    <cfRule type="expression" dxfId="2" priority="2">
      <formula>D5="FAIL"</formula>
    </cfRule>
    <cfRule type="expression" dxfId="1" priority="3">
      <formula>D5="Follow-up"</formula>
    </cfRule>
  </conditionalFormatting>
  <conditionalFormatting sqref="E5:E14">
    <cfRule type="expression" dxfId="0" priority="4">
      <formula>OR(E5="High",E5="Blocking")</formula>
    </cfRule>
  </conditionalFormatting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>
      <pane ySplit="2" topLeftCell="A3" activePane="bottomLeft" state="frozen"/>
      <selection pane="bottomLeft" sqref="A1:F1"/>
    </sheetView>
  </sheetViews>
  <sheetFormatPr defaultRowHeight="14.45"/>
  <cols>
    <col min="1" max="1" width="25" customWidth="1"/>
    <col min="2" max="2" width="22" customWidth="1"/>
    <col min="3" max="3" width="4" customWidth="1"/>
    <col min="4" max="6" width="25" customWidth="1"/>
  </cols>
  <sheetData>
    <row r="1" spans="1:6" ht="30" customHeight="1">
      <c r="A1" s="11" t="s">
        <v>41</v>
      </c>
      <c r="B1" s="13"/>
      <c r="C1" s="13"/>
      <c r="D1" s="13"/>
      <c r="E1" s="13"/>
      <c r="F1" s="13"/>
    </row>
    <row r="3" spans="1:6">
      <c r="A3" s="6" t="s">
        <v>42</v>
      </c>
      <c r="B3" s="14"/>
      <c r="C3" s="13"/>
      <c r="D3" s="13"/>
    </row>
    <row r="4" spans="1:6">
      <c r="A4" s="6" t="s">
        <v>43</v>
      </c>
      <c r="B4" s="14"/>
      <c r="C4" s="13"/>
      <c r="D4" s="13"/>
    </row>
    <row r="5" spans="1:6">
      <c r="A5" s="6" t="s">
        <v>8</v>
      </c>
      <c r="B5" s="14"/>
      <c r="C5" s="13"/>
      <c r="D5" s="13"/>
    </row>
    <row r="6" spans="1:6">
      <c r="A6" s="6" t="s">
        <v>9</v>
      </c>
      <c r="B6" s="14"/>
      <c r="C6" s="13"/>
      <c r="D6" s="13"/>
    </row>
    <row r="7" spans="1:6">
      <c r="A7" s="6" t="s">
        <v>44</v>
      </c>
      <c r="B7" s="14"/>
      <c r="C7" s="13"/>
      <c r="D7" s="13"/>
    </row>
    <row r="8" spans="1:6">
      <c r="A8" s="6" t="s">
        <v>45</v>
      </c>
      <c r="B8" s="15" t="s">
        <v>46</v>
      </c>
      <c r="C8" s="13"/>
      <c r="D8" s="13"/>
    </row>
    <row r="10" spans="1:6">
      <c r="A10" s="6" t="s">
        <v>47</v>
      </c>
      <c r="D10" s="6" t="s">
        <v>48</v>
      </c>
    </row>
    <row r="11" spans="1:6">
      <c r="A11" t="s">
        <v>49</v>
      </c>
      <c r="B11">
        <v>14</v>
      </c>
      <c r="D11" s="7" t="s">
        <v>50</v>
      </c>
    </row>
    <row r="12" spans="1:6">
      <c r="A12" t="s">
        <v>51</v>
      </c>
      <c r="B12">
        <f>COUNTIF('UI Review Checklist'!D5:D14,"PASS")</f>
        <v>0</v>
      </c>
      <c r="D12" s="12"/>
      <c r="E12" s="13"/>
      <c r="F12" s="13"/>
    </row>
    <row r="13" spans="1:6">
      <c r="A13" t="s">
        <v>52</v>
      </c>
      <c r="B13">
        <f>COUNTIF('UI Review Checklist'!D5:D14,"FAIL")</f>
        <v>0</v>
      </c>
      <c r="D13" s="13"/>
      <c r="E13" s="13"/>
      <c r="F13" s="13"/>
    </row>
    <row r="14" spans="1:6">
      <c r="A14" t="s">
        <v>53</v>
      </c>
      <c r="B14">
        <f>COUNTIF('UI Review Checklist'!D5:D14,"Follow-up")</f>
        <v>0</v>
      </c>
      <c r="D14" s="7" t="s">
        <v>54</v>
      </c>
    </row>
    <row r="15" spans="1:6">
      <c r="A15" t="s">
        <v>55</v>
      </c>
      <c r="B15">
        <f>COUNTIF('UI Review Checklist'!D5:D14,"N/A")</f>
        <v>0</v>
      </c>
      <c r="D15" s="12"/>
      <c r="E15" s="13"/>
      <c r="F15" s="13"/>
    </row>
    <row r="16" spans="1:6">
      <c r="A16" t="s">
        <v>13</v>
      </c>
      <c r="B16">
        <f>COUNTIF('UI Review Checklist'!D5:D14,"Not Reviewed")</f>
        <v>10</v>
      </c>
      <c r="D16" s="13"/>
      <c r="E16" s="13"/>
      <c r="F16" s="13"/>
    </row>
    <row r="17" spans="1:6">
      <c r="A17" t="s">
        <v>56</v>
      </c>
      <c r="B17" s="8">
        <f>IF(B11=0,0,(B12+B13+B14+B15)/B11)</f>
        <v>0</v>
      </c>
      <c r="D17" s="7" t="s">
        <v>57</v>
      </c>
    </row>
    <row r="18" spans="1:6">
      <c r="D18" s="12"/>
      <c r="E18" s="13"/>
      <c r="F18" s="13"/>
    </row>
    <row r="19" spans="1:6">
      <c r="D19" s="13"/>
      <c r="E19" s="13"/>
      <c r="F19" s="13"/>
    </row>
  </sheetData>
  <autoFilter ref="A10:B17" xr:uid="{00000000-0009-0000-0000-000001000000}"/>
  <mergeCells count="10">
    <mergeCell ref="A1:F1"/>
    <mergeCell ref="B8:D8"/>
    <mergeCell ref="B4:D4"/>
    <mergeCell ref="D18:F19"/>
    <mergeCell ref="B7:D7"/>
    <mergeCell ref="B6:D6"/>
    <mergeCell ref="D12:F13"/>
    <mergeCell ref="B3:D3"/>
    <mergeCell ref="B5:D5"/>
    <mergeCell ref="D15:F16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45"/>
  <sheetData>
    <row r="1" spans="1:3">
      <c r="A1" t="s">
        <v>13</v>
      </c>
      <c r="B1" t="s">
        <v>14</v>
      </c>
      <c r="C1" t="s">
        <v>51</v>
      </c>
    </row>
    <row r="2" spans="1:3">
      <c r="A2" t="s">
        <v>51</v>
      </c>
      <c r="B2" t="s">
        <v>58</v>
      </c>
      <c r="C2" t="s">
        <v>59</v>
      </c>
    </row>
    <row r="3" spans="1:3">
      <c r="A3" t="s">
        <v>52</v>
      </c>
      <c r="B3" t="s">
        <v>60</v>
      </c>
      <c r="C3" t="s">
        <v>61</v>
      </c>
    </row>
    <row r="4" spans="1:3">
      <c r="A4" t="s">
        <v>55</v>
      </c>
      <c r="B4" t="s">
        <v>62</v>
      </c>
      <c r="C4" t="s">
        <v>52</v>
      </c>
    </row>
    <row r="5" spans="1:3">
      <c r="A5" t="s">
        <v>53</v>
      </c>
      <c r="B5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 UI Manual UI Code Review Checklist</dc:title>
  <dc:subject/>
  <dc:creator>Narendra Kumar</dc:creator>
  <cp:keywords/>
  <dc:description/>
  <cp:lastModifiedBy/>
  <cp:revision/>
  <dcterms:created xsi:type="dcterms:W3CDTF">2026-09-28T04:22:18Z</dcterms:created>
  <dcterms:modified xsi:type="dcterms:W3CDTF">2026-09-30T11:39:49Z</dcterms:modified>
  <cp:category/>
  <cp:contentStatus/>
</cp:coreProperties>
</file>